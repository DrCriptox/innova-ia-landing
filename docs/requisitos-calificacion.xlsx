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isitos de Calific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PV&quot;"/>
    <numFmt numFmtId="165" formatCode="&quot;$&quot;#,##0"/>
    <numFmt numFmtId="166" formatCode="0.0&quot;ac&quot;;&quot;0ac&quot;"/>
  </numFmts>
  <fonts count="13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B8841F"/>
      <sz val="11"/>
    </font>
    <font>
      <name val="Calibri"/>
      <b val="1"/>
      <color rgb="000066CC"/>
      <sz val="11"/>
    </font>
    <font>
      <name val="Calibri"/>
      <b val="1"/>
      <color rgb="002E7D32"/>
      <sz val="11"/>
    </font>
    <font>
      <b val="1"/>
      <color rgb="00B8841F"/>
      <sz val="11"/>
    </font>
    <font>
      <b val="1"/>
      <sz val="10"/>
    </font>
    <font>
      <color rgb="00444444"/>
      <sz val="10"/>
    </font>
    <font>
      <sz val="10"/>
    </font>
  </fonts>
  <fills count="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AF4FF"/>
      </patternFill>
    </fill>
    <fill>
      <patternFill patternType="solid">
        <fgColor rgb="00FFF8E8"/>
      </patternFill>
    </fill>
    <fill>
      <patternFill patternType="solid">
        <fgColor rgb="00FFF3D6"/>
      </patternFill>
    </fill>
    <fill>
      <patternFill patternType="solid">
        <fgColor rgb="00FCE4A6"/>
      </patternFill>
    </fill>
    <fill>
      <patternFill patternType="solid">
        <fgColor rgb="00FCDD8E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right" vertical="center" indent="1"/>
    </xf>
    <xf numFmtId="165" fontId="4" fillId="0" borderId="1" applyAlignment="1" pivotButton="0" quotePrefix="0" xfId="0">
      <alignment horizontal="right" vertical="center" indent="1"/>
    </xf>
    <xf numFmtId="165" fontId="7" fillId="3" borderId="1" applyAlignment="1" pivotButton="0" quotePrefix="0" xfId="0">
      <alignment horizontal="right" vertical="center" indent="1"/>
    </xf>
    <xf numFmtId="166" fontId="4" fillId="0" borderId="1" applyAlignment="1" pivotButton="0" quotePrefix="0" xfId="0">
      <alignment horizontal="right" vertical="center" indent="1"/>
    </xf>
    <xf numFmtId="0" fontId="8" fillId="0" borderId="1" applyAlignment="1" pivotButton="0" quotePrefix="0" xfId="0">
      <alignment horizontal="right" vertical="center" inden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right" vertical="center" indent="1"/>
    </xf>
    <xf numFmtId="165" fontId="4" fillId="4" borderId="1" applyAlignment="1" pivotButton="0" quotePrefix="0" xfId="0">
      <alignment horizontal="right" vertical="center" indent="1"/>
    </xf>
    <xf numFmtId="165" fontId="7" fillId="5" borderId="1" applyAlignment="1" pivotButton="0" quotePrefix="0" xfId="0">
      <alignment horizontal="right" vertical="center" indent="1"/>
    </xf>
    <xf numFmtId="166" fontId="4" fillId="4" borderId="1" applyAlignment="1" pivotButton="0" quotePrefix="0" xfId="0">
      <alignment horizontal="right" vertical="center" indent="1"/>
    </xf>
    <xf numFmtId="0" fontId="8" fillId="4" borderId="1" applyAlignment="1" pivotButton="0" quotePrefix="0" xfId="0">
      <alignment horizontal="right" vertical="center" inden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 indent="1"/>
    </xf>
    <xf numFmtId="164" fontId="6" fillId="6" borderId="1" applyAlignment="1" pivotButton="0" quotePrefix="0" xfId="0">
      <alignment horizontal="right" vertical="center" indent="1"/>
    </xf>
    <xf numFmtId="165" fontId="4" fillId="6" borderId="1" applyAlignment="1" pivotButton="0" quotePrefix="0" xfId="0">
      <alignment horizontal="right" vertical="center" indent="1"/>
    </xf>
    <xf numFmtId="165" fontId="7" fillId="7" borderId="1" applyAlignment="1" pivotButton="0" quotePrefix="0" xfId="0">
      <alignment horizontal="right" vertical="center" indent="1"/>
    </xf>
    <xf numFmtId="166" fontId="4" fillId="6" borderId="1" applyAlignment="1" pivotButton="0" quotePrefix="0" xfId="0">
      <alignment horizontal="right" vertical="center" indent="1"/>
    </xf>
    <xf numFmtId="0" fontId="8" fillId="6" borderId="1" applyAlignment="1" pivotButton="0" quotePrefix="0" xfId="0">
      <alignment horizontal="right" vertical="center" indent="1"/>
    </xf>
    <xf numFmtId="0" fontId="9" fillId="0" borderId="0" pivotButton="0" quotePrefix="0" xfId="0"/>
    <xf numFmtId="0" fontId="10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22" customWidth="1" min="10" max="10"/>
  </cols>
  <sheetData>
    <row r="1" ht="28" customHeight="1">
      <c r="A1" s="1" t="inlineStr">
        <is>
          <t>§7 REQUISITOS DE CALIFICACIÓN — Plan de Carrera Sky</t>
        </is>
      </c>
    </row>
    <row r="2" ht="18" customHeight="1">
      <c r="A2" s="2" t="inlineStr">
        <is>
          <t>Cada rango exige cumplir TODOS los criterios en el mismo mes calendario · PROPUESTA — REVISAR</t>
        </is>
      </c>
    </row>
    <row r="3" ht="8" customHeight="1"/>
    <row r="4" ht="36" customHeight="1">
      <c r="A4" s="3" t="inlineStr">
        <is>
          <t>#</t>
        </is>
      </c>
      <c r="B4" s="3" t="inlineStr">
        <is>
          <t>Rango</t>
        </is>
      </c>
      <c r="C4" s="3" t="inlineStr">
        <is>
          <t>PV/mes 6 niveles</t>
        </is>
      </c>
      <c r="D4" s="3" t="inlineStr">
        <is>
          <t>PV mínimo</t>
        </is>
      </c>
      <c r="E4" s="3" t="inlineStr">
        <is>
          <t>Clientes activos</t>
        </is>
      </c>
      <c r="F4" s="3" t="inlineStr">
        <is>
          <t>Rangos directos</t>
        </is>
      </c>
      <c r="G4" s="3" t="inlineStr">
        <is>
          <t>Bono Gift</t>
        </is>
      </c>
      <c r="H4" s="3" t="inlineStr">
        <is>
          <t>Pool 5%</t>
        </is>
      </c>
      <c r="I4" s="3" t="inlineStr">
        <is>
          <t>Pool Aprox $</t>
        </is>
      </c>
      <c r="J4" s="3" t="inlineStr">
        <is>
          <t>Cobro estimado</t>
        </is>
      </c>
    </row>
    <row r="5" ht="26" customHeight="1">
      <c r="A5" s="4" t="n">
        <v>1</v>
      </c>
      <c r="B5" s="5" t="inlineStr">
        <is>
          <t>Consultor</t>
        </is>
      </c>
      <c r="C5" s="6" t="n">
        <v>750</v>
      </c>
      <c r="D5" s="7" t="n">
        <v>200</v>
      </c>
      <c r="E5" s="4" t="n">
        <v>1</v>
      </c>
      <c r="F5" s="4" t="n">
        <v>0</v>
      </c>
      <c r="G5" s="8" t="n">
        <v>0</v>
      </c>
      <c r="H5" s="9" t="n">
        <v>0.2</v>
      </c>
      <c r="I5" s="7" t="n">
        <v>0</v>
      </c>
      <c r="J5" s="10">
        <f>TEXT(INT(0.22*C5)+G5+I5,"$#,##0")&amp;" – "&amp;TEXT(INT(0.22*C6)+G5+I5,"$#,##0")</f>
        <v/>
      </c>
    </row>
    <row r="6" ht="26" customHeight="1">
      <c r="A6" s="4" t="n">
        <v>2</v>
      </c>
      <c r="B6" s="5" t="inlineStr">
        <is>
          <t>Ejecutivo</t>
        </is>
      </c>
      <c r="C6" s="6" t="n">
        <v>1500</v>
      </c>
      <c r="D6" s="7" t="n">
        <v>200</v>
      </c>
      <c r="E6" s="4" t="n">
        <v>2</v>
      </c>
      <c r="F6" s="4" t="n">
        <v>0</v>
      </c>
      <c r="G6" s="8" t="n">
        <v>150</v>
      </c>
      <c r="H6" s="9" t="n">
        <v>0.5</v>
      </c>
      <c r="I6" s="7" t="n">
        <v>24</v>
      </c>
      <c r="J6" s="10">
        <f>TEXT(INT(0.22*C6)+G6+I6,"$#,##0")&amp;" – "&amp;TEXT(INT(0.22*C7)+G6+I6,"$#,##0")</f>
        <v/>
      </c>
    </row>
    <row r="7" ht="26" customHeight="1">
      <c r="A7" s="4" t="n">
        <v>3</v>
      </c>
      <c r="B7" s="5" t="inlineStr">
        <is>
          <t>Director</t>
        </is>
      </c>
      <c r="C7" s="6" t="n">
        <v>4000</v>
      </c>
      <c r="D7" s="7" t="n">
        <v>300</v>
      </c>
      <c r="E7" s="4" t="n">
        <v>2</v>
      </c>
      <c r="F7" s="4" t="n">
        <v>1</v>
      </c>
      <c r="G7" s="8" t="n">
        <v>400</v>
      </c>
      <c r="H7" s="9" t="n">
        <v>2</v>
      </c>
      <c r="I7" s="7" t="n">
        <v>96</v>
      </c>
      <c r="J7" s="10">
        <f>TEXT(INT(0.22*C7)+G7+I7,"$#,##0")&amp;" – "&amp;TEXT(INT(0.22*C8)+G7+I7,"$#,##0")</f>
        <v/>
      </c>
    </row>
    <row r="8" ht="26" customHeight="1">
      <c r="A8" s="4" t="n">
        <v>4</v>
      </c>
      <c r="B8" s="5" t="inlineStr">
        <is>
          <t>Director Ejecutivo</t>
        </is>
      </c>
      <c r="C8" s="6" t="n">
        <v>8000</v>
      </c>
      <c r="D8" s="7" t="n">
        <v>300</v>
      </c>
      <c r="E8" s="4" t="n">
        <v>3</v>
      </c>
      <c r="F8" s="4" t="n">
        <v>2</v>
      </c>
      <c r="G8" s="8" t="n">
        <v>550</v>
      </c>
      <c r="H8" s="9" t="n">
        <v>4</v>
      </c>
      <c r="I8" s="7" t="n">
        <v>192</v>
      </c>
      <c r="J8" s="10">
        <f>TEXT(INT(0.22*C8)+G8+I8,"$#,##0")&amp;" – "&amp;TEXT(INT(0.22*C9)+G8+I8,"$#,##0")</f>
        <v/>
      </c>
    </row>
    <row r="9" ht="26" customHeight="1">
      <c r="A9" s="4" t="n">
        <v>5</v>
      </c>
      <c r="B9" s="5" t="inlineStr">
        <is>
          <t>Director Global</t>
        </is>
      </c>
      <c r="C9" s="6" t="n">
        <v>15000</v>
      </c>
      <c r="D9" s="7" t="n">
        <v>400</v>
      </c>
      <c r="E9" s="4" t="n">
        <v>3</v>
      </c>
      <c r="F9" s="4" t="n">
        <v>3</v>
      </c>
      <c r="G9" s="8" t="n">
        <v>800</v>
      </c>
      <c r="H9" s="9" t="n">
        <v>8</v>
      </c>
      <c r="I9" s="7" t="n">
        <v>384</v>
      </c>
      <c r="J9" s="10">
        <f>TEXT(INT(0.22*C9)+G9+I9,"$#,##0")&amp;" – "&amp;TEXT(INT(0.22*C10)+G9+I9,"$#,##0")</f>
        <v/>
      </c>
    </row>
    <row r="10" ht="26" customHeight="1">
      <c r="A10" s="4" t="n">
        <v>6</v>
      </c>
      <c r="B10" s="5" t="inlineStr">
        <is>
          <t>Presidente</t>
        </is>
      </c>
      <c r="C10" s="6" t="n">
        <v>35000</v>
      </c>
      <c r="D10" s="7" t="n">
        <v>500</v>
      </c>
      <c r="E10" s="4" t="n">
        <v>4</v>
      </c>
      <c r="F10" s="4" t="n">
        <v>3</v>
      </c>
      <c r="G10" s="8" t="n">
        <v>1600</v>
      </c>
      <c r="H10" s="9" t="n">
        <v>15</v>
      </c>
      <c r="I10" s="7" t="n">
        <v>720</v>
      </c>
      <c r="J10" s="10">
        <f>TEXT(INT(0.22*C10)+G10+I10,"$#,##0")&amp;" – "&amp;TEXT(INT(0.22*C11)+G10+I10,"$#,##0")</f>
        <v/>
      </c>
    </row>
    <row r="11" ht="26" customHeight="1">
      <c r="A11" s="4" t="n">
        <v>7</v>
      </c>
      <c r="B11" s="5" t="inlineStr">
        <is>
          <t>Presidente Ejecutivo</t>
        </is>
      </c>
      <c r="C11" s="6" t="n">
        <v>70000</v>
      </c>
      <c r="D11" s="7" t="n">
        <v>500</v>
      </c>
      <c r="E11" s="4" t="n">
        <v>4</v>
      </c>
      <c r="F11" s="4" t="n">
        <v>4</v>
      </c>
      <c r="G11" s="8" t="n">
        <v>2800</v>
      </c>
      <c r="H11" s="9" t="n">
        <v>25</v>
      </c>
      <c r="I11" s="7" t="n">
        <v>1200</v>
      </c>
      <c r="J11" s="10">
        <f>TEXT(INT(0.22*C11)+G11+I11,"$#,##0")&amp;" – "&amp;TEXT(INT(0.22*C12)+G11+I11,"$#,##0")</f>
        <v/>
      </c>
    </row>
    <row r="12" ht="26" customHeight="1">
      <c r="A12" s="4" t="n">
        <v>8</v>
      </c>
      <c r="B12" s="5" t="inlineStr">
        <is>
          <t>Presidente Global</t>
        </is>
      </c>
      <c r="C12" s="6" t="n">
        <v>150000</v>
      </c>
      <c r="D12" s="7" t="n">
        <v>500</v>
      </c>
      <c r="E12" s="4" t="n">
        <v>5</v>
      </c>
      <c r="F12" s="4" t="n">
        <v>4</v>
      </c>
      <c r="G12" s="8" t="n">
        <v>3800</v>
      </c>
      <c r="H12" s="9" t="n">
        <v>50</v>
      </c>
      <c r="I12" s="7" t="n">
        <v>2400</v>
      </c>
      <c r="J12" s="10">
        <f>TEXT(INT(0.22*C12)+G12+I12,"$#,##0")&amp;" – "&amp;TEXT(INT(0.22*C13)+G12+I12,"$#,##0")</f>
        <v/>
      </c>
    </row>
    <row r="13" ht="26" customHeight="1">
      <c r="A13" s="11" t="n">
        <v>9</v>
      </c>
      <c r="B13" s="12" t="inlineStr">
        <is>
          <t>Embajador</t>
        </is>
      </c>
      <c r="C13" s="13" t="n">
        <v>300000</v>
      </c>
      <c r="D13" s="14" t="n">
        <v>1000</v>
      </c>
      <c r="E13" s="11" t="n">
        <v>5</v>
      </c>
      <c r="F13" s="11" t="n">
        <v>5</v>
      </c>
      <c r="G13" s="15" t="n">
        <v>4000</v>
      </c>
      <c r="H13" s="16" t="n">
        <v>100</v>
      </c>
      <c r="I13" s="14" t="n">
        <v>4800</v>
      </c>
      <c r="J13" s="17">
        <f>TEXT(INT(0.22*C13)+G13+I13,"$#,##0")&amp;" – "&amp;TEXT(INT(0.22*C14)+G13+I13,"$#,##0")</f>
        <v/>
      </c>
    </row>
    <row r="14" ht="26" customHeight="1">
      <c r="A14" s="11" t="n">
        <v>10</v>
      </c>
      <c r="B14" s="12" t="inlineStr">
        <is>
          <t>Embajador Global</t>
        </is>
      </c>
      <c r="C14" s="13" t="n">
        <v>500000</v>
      </c>
      <c r="D14" s="14" t="n">
        <v>1000</v>
      </c>
      <c r="E14" s="11" t="n">
        <v>6</v>
      </c>
      <c r="F14" s="11" t="n">
        <v>5</v>
      </c>
      <c r="G14" s="15" t="n">
        <v>4000</v>
      </c>
      <c r="H14" s="16" t="n">
        <v>150</v>
      </c>
      <c r="I14" s="14" t="n">
        <v>7200</v>
      </c>
      <c r="J14" s="17">
        <f>TEXT(INT(0.22*C14)+G14+I14,"$#,##0")&amp;" – "&amp;TEXT(INT(0.22*C15)+G14+I14,"$#,##0")</f>
        <v/>
      </c>
    </row>
    <row r="15" ht="26" customHeight="1">
      <c r="A15" s="11" t="n">
        <v>11</v>
      </c>
      <c r="B15" s="12" t="inlineStr">
        <is>
          <t>Icon</t>
        </is>
      </c>
      <c r="C15" s="13" t="n">
        <v>1000000</v>
      </c>
      <c r="D15" s="14" t="n">
        <v>1000</v>
      </c>
      <c r="E15" s="11" t="n">
        <v>6</v>
      </c>
      <c r="F15" s="11" t="n">
        <v>6</v>
      </c>
      <c r="G15" s="15" t="n">
        <v>4000</v>
      </c>
      <c r="H15" s="16" t="n">
        <v>250</v>
      </c>
      <c r="I15" s="14" t="n">
        <v>12000</v>
      </c>
      <c r="J15" s="17">
        <f>TEXT(INT(0.22*C15)+G15+I15,"$#,##0")&amp;" – "&amp;TEXT(INT(0.22*C16)+G15+I15,"$#,##0")</f>
        <v/>
      </c>
    </row>
    <row r="16" ht="26" customHeight="1">
      <c r="A16" s="18" t="n">
        <v>12</v>
      </c>
      <c r="B16" s="19" t="inlineStr">
        <is>
          <t>Leyenda</t>
        </is>
      </c>
      <c r="C16" s="20" t="n">
        <v>2000000</v>
      </c>
      <c r="D16" s="21" t="n">
        <v>1000</v>
      </c>
      <c r="E16" s="18" t="n">
        <v>7</v>
      </c>
      <c r="F16" s="18" t="n">
        <v>6</v>
      </c>
      <c r="G16" s="22" t="n">
        <v>4000</v>
      </c>
      <c r="H16" s="23" t="n">
        <v>400</v>
      </c>
      <c r="I16" s="21" t="n">
        <v>19200</v>
      </c>
      <c r="J16" s="24">
        <f>TEXT(INT(0.22*C16)+G16+I16,"$#,##0")&amp;"+"</f>
        <v/>
      </c>
    </row>
    <row r="19">
      <c r="A19" s="25" t="inlineStr">
        <is>
          <t>DEFINICIONES</t>
        </is>
      </c>
    </row>
    <row r="20" ht="24" customHeight="1">
      <c r="A20" s="26" t="inlineStr">
        <is>
          <t>PV (Punto de Volumen)</t>
        </is>
      </c>
      <c r="B20" s="27" t="inlineStr">
        <is>
          <t>Unidad de medida del plan. Equivalencia oficial: 1 PV = $2 USD.</t>
        </is>
      </c>
    </row>
    <row r="21" ht="24" customHeight="1">
      <c r="A21" s="26" t="inlineStr">
        <is>
          <t>PV/mes 6 niveles</t>
        </is>
      </c>
      <c r="B21" s="27" t="inlineStr">
        <is>
          <t>Volumen total facturado por toda tu estructura de 6 niveles uninivel en el mes.</t>
        </is>
      </c>
    </row>
    <row r="22" ht="24" customHeight="1">
      <c r="A22" s="26" t="inlineStr">
        <is>
          <t>PV mínimo</t>
        </is>
      </c>
      <c r="B22" s="27" t="inlineStr">
        <is>
          <t>Volumen Personal mínimo que TÚ debes producir cada mes (USD).</t>
        </is>
      </c>
    </row>
    <row r="23" ht="24" customHeight="1">
      <c r="A23" s="26" t="inlineStr">
        <is>
          <t>Clientes activos</t>
        </is>
      </c>
      <c r="B23" s="27" t="inlineStr">
        <is>
          <t>Socios que TÚ trajiste personalmente y cumplen su PV mínimo ese mes.</t>
        </is>
      </c>
    </row>
    <row r="24" ht="24" customHeight="1">
      <c r="A24" s="26" t="inlineStr">
        <is>
          <t>Rangos directos</t>
        </is>
      </c>
      <c r="B24" s="27" t="inlineStr">
        <is>
          <t>Patrocinados directos que mantienen rango Director o superior.</t>
        </is>
      </c>
    </row>
    <row r="25" ht="24" customHeight="1">
      <c r="A25" s="26" t="inlineStr">
        <is>
          <t>Bono Gift (editable)</t>
        </is>
      </c>
      <c r="B25" s="27" t="inlineStr">
        <is>
          <t>Bono adicional discrecional. Editas en USD (celda azul) y se suma al Cobro.</t>
        </is>
      </c>
    </row>
    <row r="26" ht="24" customHeight="1">
      <c r="A26" s="26" t="inlineStr">
        <is>
          <t>Pool 5% (shares)</t>
        </is>
      </c>
      <c r="B26" s="27" t="inlineStr">
        <is>
          <t>Acciones del Pool de Rangos 5%. Más rango = más shares = más cobro del pool.</t>
        </is>
      </c>
    </row>
    <row r="27" ht="24" customHeight="1">
      <c r="A27" s="26" t="inlineStr">
        <is>
          <t>Pool Aprox $</t>
        </is>
      </c>
      <c r="B27" s="27" t="inlineStr">
        <is>
          <t>Estimación del cobro mensual del Pool 5% según shares y volumen global.</t>
        </is>
      </c>
    </row>
    <row r="28" ht="24" customHeight="1">
      <c r="A28" s="26" t="inlineStr">
        <is>
          <t>Cobro estimado (fórmula)</t>
        </is>
      </c>
      <c r="B28" s="27" t="inlineStr">
        <is>
          <t>Min = 22% × PV/mes (rango actual) + Bono Gift + Pool Aprox $. Max = 22% × PV/mes (rango siguiente) + Bono Gift + Pool Aprox $. Leyenda solo muestra el mínimo con '+'.</t>
        </is>
      </c>
    </row>
    <row r="29" ht="24" customHeight="1">
      <c r="A29" s="26" t="inlineStr">
        <is>
          <t>Requisito de Balance</t>
        </is>
      </c>
      <c r="B29" s="27" t="inlineStr">
        <is>
          <t>Para mantener uninivel completo (N4-N6), tu pierna mayor no puede aportar más del 75% del PV/mes. Aplica desde Director.</t>
        </is>
      </c>
    </row>
    <row r="31">
      <c r="A31" s="25" t="inlineStr">
        <is>
          <t>PENDIENTES DE CONFIRMAR</t>
        </is>
      </c>
    </row>
    <row r="32" ht="20" customHeight="1">
      <c r="A32" s="28" t="inlineStr">
        <is>
          <t>☐  PV mínimo por rango (¿OK los valores propuestos?)</t>
        </is>
      </c>
    </row>
    <row r="33" ht="20" customHeight="1">
      <c r="A33" s="28" t="inlineStr">
        <is>
          <t>☐  Bono Gift por rango (¿confirmamos los montos?)</t>
        </is>
      </c>
    </row>
    <row r="34" ht="20" customHeight="1">
      <c r="A34" s="28" t="inlineStr">
        <is>
          <t>☐  Pool 5% shares por rango (escala 1.5x-2x — ¿ajustar?)</t>
        </is>
      </c>
    </row>
    <row r="35" ht="20" customHeight="1">
      <c r="A35" s="28" t="inlineStr">
        <is>
          <t>☐  Pool Aprox $ — depende del volumen global mensual; aquí se muestra estimado</t>
        </is>
      </c>
    </row>
    <row r="36" ht="20" customHeight="1">
      <c r="A36" s="28" t="inlineStr">
        <is>
          <t>☐  Activar/no activar Requisito de Balance 75% desde Director</t>
        </is>
      </c>
    </row>
  </sheetData>
  <mergeCells count="17">
    <mergeCell ref="B29:J29"/>
    <mergeCell ref="A1:J1"/>
    <mergeCell ref="B24:J24"/>
    <mergeCell ref="B25:J25"/>
    <mergeCell ref="A32:J32"/>
    <mergeCell ref="B20:J20"/>
    <mergeCell ref="A36:J36"/>
    <mergeCell ref="B28:J28"/>
    <mergeCell ref="B22:J22"/>
    <mergeCell ref="B23:J23"/>
    <mergeCell ref="B26:J26"/>
    <mergeCell ref="B27:J27"/>
    <mergeCell ref="A34:J34"/>
    <mergeCell ref="A35:J35"/>
    <mergeCell ref="A2:J2"/>
    <mergeCell ref="B21:J21"/>
    <mergeCell ref="A33:J33"/>
  </mergeCells>
  <pageMargins left="0.75" right="0.75" top="1" bottom="1" header="0.5" footer="0.5"/>
  <headerFooter>
    <oddHeader/>
    <oddFooter>&amp;C&amp;9 &amp;K888888Innova IA · Sky System — Plan de Carrera · v3 — Mayo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2026-05-02T06:10:55Z</dcterms:created>
  <dcterms:modified xsi:type="dcterms:W3CDTF">2026-05-02T06:10:55Z</dcterms:modified>
</cp:coreProperties>
</file>